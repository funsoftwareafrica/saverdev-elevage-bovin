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bdoul Madjid\Desktop\bureau\Donnees A.Madjid\Burau de travail\Cabinet ISA Advisory\Clients\E2A\CLIENTS\MISSION SYNERGI IYAWA\Rapport de cadrage\"/>
    </mc:Choice>
  </mc:AlternateContent>
  <xr:revisionPtr revIDLastSave="0" documentId="13_ncr:1_{8F0D05CA-71CA-4C96-9274-1504793C9A8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onnées" sheetId="1" r:id="rId1"/>
    <sheet name="Tableau de Bo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6" i="2" l="1"/>
  <c r="B6" i="2"/>
  <c r="Q16" i="1"/>
  <c r="K16" i="1"/>
  <c r="J16" i="1"/>
  <c r="I16" i="1"/>
  <c r="E6" i="2" s="1"/>
  <c r="H16" i="1"/>
  <c r="E16" i="1"/>
  <c r="D16" i="1"/>
  <c r="C16" i="1"/>
  <c r="B16" i="1"/>
  <c r="R15" i="1"/>
  <c r="N6" i="2" s="1"/>
  <c r="M15" i="1"/>
  <c r="L15" i="1"/>
  <c r="N15" i="1" s="1"/>
  <c r="R14" i="1"/>
  <c r="M14" i="1"/>
  <c r="L14" i="1"/>
  <c r="N14" i="1" s="1"/>
  <c r="R13" i="1"/>
  <c r="M13" i="1"/>
  <c r="L13" i="1"/>
  <c r="N13" i="1" s="1"/>
  <c r="R12" i="1"/>
  <c r="M12" i="1"/>
  <c r="L12" i="1"/>
  <c r="N12" i="1" s="1"/>
  <c r="R11" i="1"/>
  <c r="M11" i="1"/>
  <c r="L11" i="1"/>
  <c r="N11" i="1" s="1"/>
  <c r="R10" i="1"/>
  <c r="M10" i="1"/>
  <c r="L10" i="1"/>
  <c r="N10" i="1" s="1"/>
  <c r="R9" i="1"/>
  <c r="M9" i="1"/>
  <c r="L9" i="1"/>
  <c r="N9" i="1" s="1"/>
  <c r="R8" i="1"/>
  <c r="M8" i="1"/>
  <c r="L8" i="1"/>
  <c r="N8" i="1" s="1"/>
  <c r="R7" i="1"/>
  <c r="M7" i="1"/>
  <c r="L7" i="1"/>
  <c r="N7" i="1" s="1"/>
  <c r="U6" i="1"/>
  <c r="R6" i="1"/>
  <c r="M6" i="1"/>
  <c r="L6" i="1"/>
  <c r="N6" i="1" s="1"/>
  <c r="U5" i="1"/>
  <c r="R5" i="1"/>
  <c r="M5" i="1"/>
  <c r="L5" i="1"/>
  <c r="N5" i="1" s="1"/>
  <c r="U4" i="1"/>
  <c r="R4" i="1"/>
  <c r="N4" i="1"/>
  <c r="M4" i="1"/>
  <c r="L4" i="1"/>
  <c r="L16" i="1" l="1"/>
  <c r="H6" i="2" s="1"/>
  <c r="K6" i="2"/>
</calcChain>
</file>

<file path=xl/sharedStrings.xml><?xml version="1.0" encoding="utf-8"?>
<sst xmlns="http://schemas.openxmlformats.org/spreadsheetml/2006/main" count="44" uniqueCount="44">
  <si>
    <t>SAVERDEV DURABLE — Données mensuelles (exercice 2026)</t>
  </si>
  <si>
    <t>Mois</t>
  </si>
  <si>
    <t>Bovins actifs</t>
  </si>
  <si>
    <t>Achats</t>
  </si>
  <si>
    <t>Ventes</t>
  </si>
  <si>
    <t>Mortalité</t>
  </si>
  <si>
    <t>Valeur cheptel</t>
  </si>
  <si>
    <t>Sacs consommés</t>
  </si>
  <si>
    <t>Coût alimentation</t>
  </si>
  <si>
    <t>Chiffre d'affaires</t>
  </si>
  <si>
    <t>Coût d'achat (vendus)</t>
  </si>
  <si>
    <t>Coût engraissement (vendus)</t>
  </si>
  <si>
    <t>Marge totale</t>
  </si>
  <si>
    <t>Coût alim/tête</t>
  </si>
  <si>
    <t>Marge/tête</t>
  </si>
  <si>
    <t>Financement accordé</t>
  </si>
  <si>
    <t>Financement utilisé (cumul)</t>
  </si>
  <si>
    <t>Trésorerie</t>
  </si>
  <si>
    <t>Taux util. fin.</t>
  </si>
  <si>
    <t>Structure des coûts (cumul)</t>
  </si>
  <si>
    <t>Janv.</t>
  </si>
  <si>
    <t>Achat des bovins</t>
  </si>
  <si>
    <t>Févr.</t>
  </si>
  <si>
    <t>Alimentation</t>
  </si>
  <si>
    <t>Mars</t>
  </si>
  <si>
    <t>Engraissement (autres)</t>
  </si>
  <si>
    <t>Avr.</t>
  </si>
  <si>
    <t>Mai</t>
  </si>
  <si>
    <t>Juin</t>
  </si>
  <si>
    <t>Juil.</t>
  </si>
  <si>
    <t>Août</t>
  </si>
  <si>
    <t>Sept.</t>
  </si>
  <si>
    <t>Oct.</t>
  </si>
  <si>
    <t>Nov.</t>
  </si>
  <si>
    <t>Déc.</t>
  </si>
  <si>
    <t>TOTAL / Fin</t>
  </si>
  <si>
    <t>Reporting mensuel destiné au bailleur  ·  exercice 2026  ·  montants en FCFA</t>
  </si>
  <si>
    <t>Bovins actifs (fin)</t>
  </si>
  <si>
    <t>Chiffre d'affaires cumulé</t>
  </si>
  <si>
    <t>Marge totale cumulée</t>
  </si>
  <si>
    <t>Marge moyenne / tête</t>
  </si>
  <si>
    <t>Taux d'utilisation fin.</t>
  </si>
  <si>
    <t>Trésorerie disponible</t>
  </si>
  <si>
    <t xml:space="preserve">SAVERDEV DURABLE  —  Tableau de bord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</si>
</sst>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&quot; F&quot;"/>
  </numFmts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i/>
      <sz val="9"/>
      <color rgb="FF64748B"/>
      <name val="Calibri"/>
      <charset val="1"/>
    </font>
    <font>
      <b/>
      <sz val="10"/>
      <color rgb="FFFFFFFF"/>
      <name val="Calibri"/>
      <charset val="1"/>
    </font>
    <font>
      <b/>
      <sz val="9"/>
      <color rgb="FF64748B"/>
      <name val="Calibri"/>
      <charset val="1"/>
    </font>
    <font>
      <sz val="10"/>
      <color rgb="FF14251C"/>
      <name val="Calibri"/>
      <charset val="1"/>
    </font>
    <font>
      <b/>
      <sz val="10"/>
      <color rgb="FF14532A"/>
      <name val="Calibri"/>
      <charset val="1"/>
    </font>
    <font>
      <sz val="9"/>
      <color rgb="FF14251C"/>
      <name val="Calibri"/>
      <charset val="1"/>
    </font>
    <font>
      <b/>
      <sz val="18"/>
      <color rgb="FFFFFFFF"/>
      <name val="Calibri"/>
      <charset val="1"/>
    </font>
    <font>
      <i/>
      <sz val="10"/>
      <color rgb="FF64748B"/>
      <name val="Calibri"/>
      <charset val="1"/>
    </font>
    <font>
      <b/>
      <sz val="9.5"/>
      <color rgb="FFFFFFFF"/>
      <name val="Calibri"/>
      <charset val="1"/>
    </font>
    <font>
      <b/>
      <sz val="20"/>
      <color rgb="FFFFFFFF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14532A"/>
        <bgColor rgb="FF1E7B34"/>
      </patternFill>
    </fill>
    <fill>
      <patternFill patternType="solid">
        <fgColor rgb="FF1E7B34"/>
        <bgColor rgb="FF0F766E"/>
      </patternFill>
    </fill>
    <fill>
      <patternFill patternType="solid">
        <fgColor rgb="FFE0A008"/>
        <bgColor rgb="FFFFCC00"/>
      </patternFill>
    </fill>
    <fill>
      <patternFill patternType="solid">
        <fgColor rgb="FFE2ECDF"/>
        <bgColor rgb="FFE9F2E6"/>
      </patternFill>
    </fill>
    <fill>
      <patternFill patternType="solid">
        <fgColor rgb="FFE9F2E6"/>
        <bgColor rgb="FFE2ECDF"/>
      </patternFill>
    </fill>
    <fill>
      <patternFill patternType="solid">
        <fgColor rgb="FFFFFFFF"/>
        <bgColor rgb="FFF9F9F9"/>
      </patternFill>
    </fill>
    <fill>
      <patternFill patternType="solid">
        <fgColor rgb="FFF5FAF3"/>
        <bgColor rgb="FFF9F9F9"/>
      </patternFill>
    </fill>
    <fill>
      <patternFill patternType="solid">
        <fgColor rgb="FF1E6091"/>
        <bgColor rgb="FF0F766E"/>
      </patternFill>
    </fill>
    <fill>
      <patternFill patternType="solid">
        <fgColor rgb="FF0F766E"/>
        <bgColor rgb="FF008080"/>
      </patternFill>
    </fill>
    <fill>
      <patternFill patternType="solid">
        <fgColor rgb="FF8D6E63"/>
        <bgColor rgb="FF878787"/>
      </patternFill>
    </fill>
  </fills>
  <borders count="3">
    <border>
      <left/>
      <right/>
      <top/>
      <bottom/>
      <diagonal/>
    </border>
    <border>
      <left style="thin">
        <color rgb="FFC4D3C0"/>
      </left>
      <right style="thin">
        <color rgb="FFC4D3C0"/>
      </right>
      <top style="thin">
        <color rgb="FFC4D3C0"/>
      </top>
      <bottom style="thin">
        <color rgb="FFC4D3C0"/>
      </bottom>
      <diagonal/>
    </border>
    <border>
      <left/>
      <right/>
      <top/>
      <bottom style="thick">
        <color rgb="FFE0A00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5" borderId="1" xfId="0" applyFont="1" applyFill="1" applyBorder="1" applyAlignment="1">
      <alignment horizontal="left" indent="1"/>
    </xf>
    <xf numFmtId="0" fontId="5" fillId="5" borderId="1" xfId="0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3" fontId="6" fillId="6" borderId="1" xfId="0" applyNumberFormat="1" applyFont="1" applyFill="1" applyBorder="1" applyAlignment="1">
      <alignment horizontal="center"/>
    </xf>
    <xf numFmtId="164" fontId="6" fillId="6" borderId="1" xfId="0" applyNumberFormat="1" applyFont="1" applyFill="1" applyBorder="1" applyAlignment="1">
      <alignment horizontal="center"/>
    </xf>
    <xf numFmtId="0" fontId="7" fillId="0" borderId="0" xfId="0" applyFont="1"/>
    <xf numFmtId="3" fontId="0" fillId="0" borderId="0" xfId="0" applyNumberFormat="1"/>
    <xf numFmtId="0" fontId="5" fillId="7" borderId="1" xfId="0" applyFont="1" applyFill="1" applyBorder="1" applyAlignment="1">
      <alignment horizontal="left" indent="1"/>
    </xf>
    <xf numFmtId="0" fontId="5" fillId="7" borderId="1" xfId="0" applyFont="1" applyFill="1" applyBorder="1" applyAlignment="1">
      <alignment horizontal="center"/>
    </xf>
    <xf numFmtId="3" fontId="5" fillId="7" borderId="1" xfId="0" applyNumberFormat="1" applyFont="1" applyFill="1" applyBorder="1" applyAlignment="1">
      <alignment horizontal="center"/>
    </xf>
    <xf numFmtId="3" fontId="6" fillId="8" borderId="1" xfId="0" applyNumberFormat="1" applyFont="1" applyFill="1" applyBorder="1" applyAlignment="1">
      <alignment horizontal="center"/>
    </xf>
    <xf numFmtId="164" fontId="6" fillId="8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165" fontId="11" fillId="11" borderId="2" xfId="0" applyNumberFormat="1" applyFont="1" applyFill="1" applyBorder="1" applyAlignment="1">
      <alignment horizontal="left" vertical="center" indent="1"/>
    </xf>
    <xf numFmtId="3" fontId="11" fillId="3" borderId="2" xfId="0" applyNumberFormat="1" applyFont="1" applyFill="1" applyBorder="1" applyAlignment="1">
      <alignment horizontal="left" vertical="center" indent="1"/>
    </xf>
    <xf numFmtId="165" fontId="11" fillId="9" borderId="2" xfId="0" applyNumberFormat="1" applyFont="1" applyFill="1" applyBorder="1" applyAlignment="1">
      <alignment horizontal="left" vertical="center" indent="1"/>
    </xf>
    <xf numFmtId="165" fontId="11" fillId="2" borderId="2" xfId="0" applyNumberFormat="1" applyFont="1" applyFill="1" applyBorder="1" applyAlignment="1">
      <alignment horizontal="left" vertical="center" indent="1"/>
    </xf>
    <xf numFmtId="165" fontId="11" fillId="10" borderId="2" xfId="0" applyNumberFormat="1" applyFont="1" applyFill="1" applyBorder="1" applyAlignment="1">
      <alignment horizontal="left" vertical="center" indent="1"/>
    </xf>
    <xf numFmtId="164" fontId="11" fillId="4" borderId="2" xfId="0" applyNumberFormat="1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9" fillId="0" borderId="0" xfId="0" applyFont="1"/>
    <xf numFmtId="0" fontId="10" fillId="3" borderId="0" xfId="0" applyFont="1" applyFill="1" applyAlignment="1">
      <alignment horizontal="left" vertical="center" indent="1"/>
    </xf>
    <xf numFmtId="0" fontId="10" fillId="9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indent="1"/>
    </xf>
    <xf numFmtId="0" fontId="10" fillId="10" borderId="0" xfId="0" applyFont="1" applyFill="1" applyAlignment="1">
      <alignment horizontal="left" vertical="center" indent="1"/>
    </xf>
    <xf numFmtId="0" fontId="10" fillId="4" borderId="0" xfId="0" applyFont="1" applyFill="1" applyAlignment="1">
      <alignment horizontal="left" vertical="center" indent="1"/>
    </xf>
    <xf numFmtId="0" fontId="10" fillId="11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F766E"/>
      <rgbColor rgb="FFC4D3C0"/>
      <rgbColor rgb="FF878787"/>
      <rgbColor rgb="FF9999FF"/>
      <rgbColor rgb="FF993366"/>
      <rgbColor rgb="FFF5FAF3"/>
      <rgbColor rgb="FFE9F2E6"/>
      <rgbColor rgb="FF660066"/>
      <rgbColor rgb="FFFF8080"/>
      <rgbColor rgb="FF1E609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CDF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E0A008"/>
      <rgbColor rgb="FFFF6600"/>
      <rgbColor rgb="FF64748B"/>
      <rgbColor rgb="FF8D6E63"/>
      <rgbColor rgb="FF003366"/>
      <rgbColor rgb="FF339966"/>
      <rgbColor rgb="FF14251C"/>
      <rgbColor rgb="FF333300"/>
      <rgbColor rgb="FF993300"/>
      <rgbColor rgb="FF993366"/>
      <rgbColor rgb="FF333399"/>
      <rgbColor rgb="FF1453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Évolution du cheptel (bovins actifs)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Données!$B$3</c:f>
              <c:strCache>
                <c:ptCount val="1"/>
                <c:pt idx="0">
                  <c:v>Bovins actifs</c:v>
                </c:pt>
              </c:strCache>
            </c:strRef>
          </c:tx>
          <c:spPr>
            <a:solidFill>
              <a:srgbClr val="1E7B34"/>
            </a:solidFill>
            <a:ln w="9360">
              <a:solidFill>
                <a:srgbClr val="14532A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Données!$A$4:$A$15</c:f>
              <c:strCache>
                <c:ptCount val="12"/>
                <c:pt idx="0">
                  <c:v>Janv.</c:v>
                </c:pt>
                <c:pt idx="1">
                  <c:v>Févr.</c:v>
                </c:pt>
                <c:pt idx="2">
                  <c:v>Mars</c:v>
                </c:pt>
                <c:pt idx="3">
                  <c:v>Avr.</c:v>
                </c:pt>
                <c:pt idx="4">
                  <c:v>Mai</c:v>
                </c:pt>
                <c:pt idx="5">
                  <c:v>Juin</c:v>
                </c:pt>
                <c:pt idx="6">
                  <c:v>Juil.</c:v>
                </c:pt>
                <c:pt idx="7">
                  <c:v>Août</c:v>
                </c:pt>
                <c:pt idx="8">
                  <c:v>Sept.</c:v>
                </c:pt>
                <c:pt idx="9">
                  <c:v>Oct.</c:v>
                </c:pt>
                <c:pt idx="10">
                  <c:v>Nov.</c:v>
                </c:pt>
                <c:pt idx="11">
                  <c:v>Déc.</c:v>
                </c:pt>
              </c:strCache>
            </c:strRef>
          </c:cat>
          <c:val>
            <c:numRef>
              <c:f>Données!$B$4:$B$15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4D70-4C8D-8275-11D5C96C5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45260"/>
        <c:axId val="26497937"/>
      </c:areaChart>
      <c:catAx>
        <c:axId val="940452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6497937"/>
        <c:crosses val="autoZero"/>
        <c:auto val="1"/>
        <c:lblAlgn val="ctr"/>
        <c:lblOffset val="100"/>
        <c:noMultiLvlLbl val="0"/>
      </c:catAx>
      <c:valAx>
        <c:axId val="2649793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404526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Achats vs Ventes (têtes / mois)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Données!$C$3</c:f>
              <c:strCache>
                <c:ptCount val="1"/>
                <c:pt idx="0">
                  <c:v>Achats</c:v>
                </c:pt>
              </c:strCache>
            </c:strRef>
          </c:tx>
          <c:spPr>
            <a:solidFill>
              <a:srgbClr val="1E609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Données!$A$4:$A$15</c:f>
              <c:strCache>
                <c:ptCount val="12"/>
                <c:pt idx="0">
                  <c:v>Janv.</c:v>
                </c:pt>
                <c:pt idx="1">
                  <c:v>Févr.</c:v>
                </c:pt>
                <c:pt idx="2">
                  <c:v>Mars</c:v>
                </c:pt>
                <c:pt idx="3">
                  <c:v>Avr.</c:v>
                </c:pt>
                <c:pt idx="4">
                  <c:v>Mai</c:v>
                </c:pt>
                <c:pt idx="5">
                  <c:v>Juin</c:v>
                </c:pt>
                <c:pt idx="6">
                  <c:v>Juil.</c:v>
                </c:pt>
                <c:pt idx="7">
                  <c:v>Août</c:v>
                </c:pt>
                <c:pt idx="8">
                  <c:v>Sept.</c:v>
                </c:pt>
                <c:pt idx="9">
                  <c:v>Oct.</c:v>
                </c:pt>
                <c:pt idx="10">
                  <c:v>Nov.</c:v>
                </c:pt>
                <c:pt idx="11">
                  <c:v>Déc.</c:v>
                </c:pt>
              </c:strCache>
            </c:strRef>
          </c:cat>
          <c:val>
            <c:numRef>
              <c:f>Données!$C$4:$C$15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CBA2-43D5-80DD-4667AA76CC4B}"/>
            </c:ext>
          </c:extLst>
        </c:ser>
        <c:ser>
          <c:idx val="1"/>
          <c:order val="1"/>
          <c:tx>
            <c:strRef>
              <c:f>Données!$D$3</c:f>
              <c:strCache>
                <c:ptCount val="1"/>
                <c:pt idx="0">
                  <c:v>Ventes</c:v>
                </c:pt>
              </c:strCache>
            </c:strRef>
          </c:tx>
          <c:spPr>
            <a:solidFill>
              <a:srgbClr val="E0A00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Données!$A$4:$A$15</c:f>
              <c:strCache>
                <c:ptCount val="12"/>
                <c:pt idx="0">
                  <c:v>Janv.</c:v>
                </c:pt>
                <c:pt idx="1">
                  <c:v>Févr.</c:v>
                </c:pt>
                <c:pt idx="2">
                  <c:v>Mars</c:v>
                </c:pt>
                <c:pt idx="3">
                  <c:v>Avr.</c:v>
                </c:pt>
                <c:pt idx="4">
                  <c:v>Mai</c:v>
                </c:pt>
                <c:pt idx="5">
                  <c:v>Juin</c:v>
                </c:pt>
                <c:pt idx="6">
                  <c:v>Juil.</c:v>
                </c:pt>
                <c:pt idx="7">
                  <c:v>Août</c:v>
                </c:pt>
                <c:pt idx="8">
                  <c:v>Sept.</c:v>
                </c:pt>
                <c:pt idx="9">
                  <c:v>Oct.</c:v>
                </c:pt>
                <c:pt idx="10">
                  <c:v>Nov.</c:v>
                </c:pt>
                <c:pt idx="11">
                  <c:v>Déc.</c:v>
                </c:pt>
              </c:strCache>
            </c:strRef>
          </c:cat>
          <c:val>
            <c:numRef>
              <c:f>Données!$D$4:$D$15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CBA2-43D5-80DD-4667AA76C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2364222"/>
        <c:axId val="20250433"/>
      </c:barChart>
      <c:catAx>
        <c:axId val="223642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0250433"/>
        <c:crosses val="autoZero"/>
        <c:auto val="1"/>
        <c:lblAlgn val="ctr"/>
        <c:lblOffset val="100"/>
        <c:noMultiLvlLbl val="0"/>
      </c:catAx>
      <c:valAx>
        <c:axId val="20250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23642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Chiffre d'affaires &amp; marge (FCFA / mois)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Données!$I$3</c:f>
              <c:strCache>
                <c:ptCount val="1"/>
                <c:pt idx="0">
                  <c:v>Chiffre d'affaires</c:v>
                </c:pt>
              </c:strCache>
            </c:strRef>
          </c:tx>
          <c:spPr>
            <a:solidFill>
              <a:srgbClr val="1E609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Données!$A$4:$A$15</c:f>
              <c:strCache>
                <c:ptCount val="12"/>
                <c:pt idx="0">
                  <c:v>Janv.</c:v>
                </c:pt>
                <c:pt idx="1">
                  <c:v>Févr.</c:v>
                </c:pt>
                <c:pt idx="2">
                  <c:v>Mars</c:v>
                </c:pt>
                <c:pt idx="3">
                  <c:v>Avr.</c:v>
                </c:pt>
                <c:pt idx="4">
                  <c:v>Mai</c:v>
                </c:pt>
                <c:pt idx="5">
                  <c:v>Juin</c:v>
                </c:pt>
                <c:pt idx="6">
                  <c:v>Juil.</c:v>
                </c:pt>
                <c:pt idx="7">
                  <c:v>Août</c:v>
                </c:pt>
                <c:pt idx="8">
                  <c:v>Sept.</c:v>
                </c:pt>
                <c:pt idx="9">
                  <c:v>Oct.</c:v>
                </c:pt>
                <c:pt idx="10">
                  <c:v>Nov.</c:v>
                </c:pt>
                <c:pt idx="11">
                  <c:v>Déc.</c:v>
                </c:pt>
              </c:strCache>
            </c:strRef>
          </c:cat>
          <c:val>
            <c:numRef>
              <c:f>Données!$I$4:$I$15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5DE7-45E9-9890-F36315E441D0}"/>
            </c:ext>
          </c:extLst>
        </c:ser>
        <c:ser>
          <c:idx val="1"/>
          <c:order val="1"/>
          <c:tx>
            <c:strRef>
              <c:f>Données!$L$3</c:f>
              <c:strCache>
                <c:ptCount val="1"/>
                <c:pt idx="0">
                  <c:v>Marge totale</c:v>
                </c:pt>
              </c:strCache>
            </c:strRef>
          </c:tx>
          <c:spPr>
            <a:solidFill>
              <a:srgbClr val="1E7B3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Données!$A$4:$A$15</c:f>
              <c:strCache>
                <c:ptCount val="12"/>
                <c:pt idx="0">
                  <c:v>Janv.</c:v>
                </c:pt>
                <c:pt idx="1">
                  <c:v>Févr.</c:v>
                </c:pt>
                <c:pt idx="2">
                  <c:v>Mars</c:v>
                </c:pt>
                <c:pt idx="3">
                  <c:v>Avr.</c:v>
                </c:pt>
                <c:pt idx="4">
                  <c:v>Mai</c:v>
                </c:pt>
                <c:pt idx="5">
                  <c:v>Juin</c:v>
                </c:pt>
                <c:pt idx="6">
                  <c:v>Juil.</c:v>
                </c:pt>
                <c:pt idx="7">
                  <c:v>Août</c:v>
                </c:pt>
                <c:pt idx="8">
                  <c:v>Sept.</c:v>
                </c:pt>
                <c:pt idx="9">
                  <c:v>Oct.</c:v>
                </c:pt>
                <c:pt idx="10">
                  <c:v>Nov.</c:v>
                </c:pt>
                <c:pt idx="11">
                  <c:v>Déc.</c:v>
                </c:pt>
              </c:strCache>
            </c:strRef>
          </c:cat>
          <c:val>
            <c:numRef>
              <c:f>Données!$L$4:$L$15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E7-45E9-9890-F36315E44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2024980"/>
        <c:axId val="86783620"/>
      </c:barChart>
      <c:catAx>
        <c:axId val="520249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6783620"/>
        <c:crosses val="autoZero"/>
        <c:auto val="1"/>
        <c:lblAlgn val="ctr"/>
        <c:lblOffset val="100"/>
        <c:noMultiLvlLbl val="0"/>
      </c:catAx>
      <c:valAx>
        <c:axId val="867836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20249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Marge/tête &amp; coût alimentation/tête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Données!$N$3</c:f>
              <c:strCache>
                <c:ptCount val="1"/>
                <c:pt idx="0">
                  <c:v>Marge/tête</c:v>
                </c:pt>
              </c:strCache>
            </c:strRef>
          </c:tx>
          <c:spPr>
            <a:ln w="28080">
              <a:solidFill>
                <a:srgbClr val="14532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Données!$A$4:$A$15</c:f>
              <c:strCache>
                <c:ptCount val="12"/>
                <c:pt idx="0">
                  <c:v>Janv.</c:v>
                </c:pt>
                <c:pt idx="1">
                  <c:v>Févr.</c:v>
                </c:pt>
                <c:pt idx="2">
                  <c:v>Mars</c:v>
                </c:pt>
                <c:pt idx="3">
                  <c:v>Avr.</c:v>
                </c:pt>
                <c:pt idx="4">
                  <c:v>Mai</c:v>
                </c:pt>
                <c:pt idx="5">
                  <c:v>Juin</c:v>
                </c:pt>
                <c:pt idx="6">
                  <c:v>Juil.</c:v>
                </c:pt>
                <c:pt idx="7">
                  <c:v>Août</c:v>
                </c:pt>
                <c:pt idx="8">
                  <c:v>Sept.</c:v>
                </c:pt>
                <c:pt idx="9">
                  <c:v>Oct.</c:v>
                </c:pt>
                <c:pt idx="10">
                  <c:v>Nov.</c:v>
                </c:pt>
                <c:pt idx="11">
                  <c:v>Déc.</c:v>
                </c:pt>
              </c:strCache>
            </c:strRef>
          </c:cat>
          <c:val>
            <c:numRef>
              <c:f>Données!$N$4:$N$15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76-4D53-8D4C-7C2343153356}"/>
            </c:ext>
          </c:extLst>
        </c:ser>
        <c:ser>
          <c:idx val="1"/>
          <c:order val="1"/>
          <c:tx>
            <c:strRef>
              <c:f>Données!$M$3</c:f>
              <c:strCache>
                <c:ptCount val="1"/>
                <c:pt idx="0">
                  <c:v>Coût alim/tête</c:v>
                </c:pt>
              </c:strCache>
            </c:strRef>
          </c:tx>
          <c:spPr>
            <a:ln w="28080">
              <a:solidFill>
                <a:srgbClr val="E0A00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Données!$A$4:$A$15</c:f>
              <c:strCache>
                <c:ptCount val="12"/>
                <c:pt idx="0">
                  <c:v>Janv.</c:v>
                </c:pt>
                <c:pt idx="1">
                  <c:v>Févr.</c:v>
                </c:pt>
                <c:pt idx="2">
                  <c:v>Mars</c:v>
                </c:pt>
                <c:pt idx="3">
                  <c:v>Avr.</c:v>
                </c:pt>
                <c:pt idx="4">
                  <c:v>Mai</c:v>
                </c:pt>
                <c:pt idx="5">
                  <c:v>Juin</c:v>
                </c:pt>
                <c:pt idx="6">
                  <c:v>Juil.</c:v>
                </c:pt>
                <c:pt idx="7">
                  <c:v>Août</c:v>
                </c:pt>
                <c:pt idx="8">
                  <c:v>Sept.</c:v>
                </c:pt>
                <c:pt idx="9">
                  <c:v>Oct.</c:v>
                </c:pt>
                <c:pt idx="10">
                  <c:v>Nov.</c:v>
                </c:pt>
                <c:pt idx="11">
                  <c:v>Déc.</c:v>
                </c:pt>
              </c:strCache>
            </c:strRef>
          </c:cat>
          <c:val>
            <c:numRef>
              <c:f>Données!$M$4:$M$15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F76-4D53-8D4C-7C2343153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6338314"/>
        <c:axId val="15603173"/>
      </c:lineChart>
      <c:catAx>
        <c:axId val="463383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5603173"/>
        <c:crosses val="autoZero"/>
        <c:auto val="1"/>
        <c:lblAlgn val="ctr"/>
        <c:lblOffset val="100"/>
        <c:noMultiLvlLbl val="0"/>
      </c:catAx>
      <c:valAx>
        <c:axId val="156031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63383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Structure des coûts (cumul)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E7B3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60A-4C49-83EB-C9ECC0A4F14C}"/>
              </c:ext>
            </c:extLst>
          </c:dPt>
          <c:dPt>
            <c:idx val="1"/>
            <c:bubble3D val="0"/>
            <c:spPr>
              <a:solidFill>
                <a:srgbClr val="E0A00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60A-4C49-83EB-C9ECC0A4F14C}"/>
              </c:ext>
            </c:extLst>
          </c:dPt>
          <c:dPt>
            <c:idx val="2"/>
            <c:bubble3D val="0"/>
            <c:spPr>
              <a:solidFill>
                <a:srgbClr val="8D6E6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60A-4C49-83EB-C9ECC0A4F14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0A-4C49-83EB-C9ECC0A4F14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0A-4C49-83EB-C9ECC0A4F14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60A-4C49-83EB-C9ECC0A4F1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Données!$T$4:$T$6</c:f>
              <c:strCache>
                <c:ptCount val="3"/>
                <c:pt idx="0">
                  <c:v>Achat des bovins</c:v>
                </c:pt>
                <c:pt idx="1">
                  <c:v>Alimentation</c:v>
                </c:pt>
                <c:pt idx="2">
                  <c:v>Engraissement (autres)</c:v>
                </c:pt>
              </c:strCache>
            </c:strRef>
          </c:cat>
          <c:val>
            <c:numRef>
              <c:f>Données!$U$4:$U$6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0A-4C49-83EB-C9ECC0A4F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Financement utilisé (cumul) vs trésorerie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Données!$P$3</c:f>
              <c:strCache>
                <c:ptCount val="1"/>
                <c:pt idx="0">
                  <c:v>Financement utilisé (cumul)</c:v>
                </c:pt>
              </c:strCache>
            </c:strRef>
          </c:tx>
          <c:spPr>
            <a:solidFill>
              <a:srgbClr val="14532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Données!$A$4:$A$15</c:f>
              <c:strCache>
                <c:ptCount val="12"/>
                <c:pt idx="0">
                  <c:v>Janv.</c:v>
                </c:pt>
                <c:pt idx="1">
                  <c:v>Févr.</c:v>
                </c:pt>
                <c:pt idx="2">
                  <c:v>Mars</c:v>
                </c:pt>
                <c:pt idx="3">
                  <c:v>Avr.</c:v>
                </c:pt>
                <c:pt idx="4">
                  <c:v>Mai</c:v>
                </c:pt>
                <c:pt idx="5">
                  <c:v>Juin</c:v>
                </c:pt>
                <c:pt idx="6">
                  <c:v>Juil.</c:v>
                </c:pt>
                <c:pt idx="7">
                  <c:v>Août</c:v>
                </c:pt>
                <c:pt idx="8">
                  <c:v>Sept.</c:v>
                </c:pt>
                <c:pt idx="9">
                  <c:v>Oct.</c:v>
                </c:pt>
                <c:pt idx="10">
                  <c:v>Nov.</c:v>
                </c:pt>
                <c:pt idx="11">
                  <c:v>Déc.</c:v>
                </c:pt>
              </c:strCache>
            </c:strRef>
          </c:cat>
          <c:val>
            <c:numRef>
              <c:f>Données!$P$4:$P$15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9CCA-470F-836E-934E95937562}"/>
            </c:ext>
          </c:extLst>
        </c:ser>
        <c:ser>
          <c:idx val="1"/>
          <c:order val="1"/>
          <c:tx>
            <c:strRef>
              <c:f>Données!$Q$3</c:f>
              <c:strCache>
                <c:ptCount val="1"/>
                <c:pt idx="0">
                  <c:v>Trésorerie</c:v>
                </c:pt>
              </c:strCache>
            </c:strRef>
          </c:tx>
          <c:spPr>
            <a:solidFill>
              <a:srgbClr val="0F766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Données!$A$4:$A$15</c:f>
              <c:strCache>
                <c:ptCount val="12"/>
                <c:pt idx="0">
                  <c:v>Janv.</c:v>
                </c:pt>
                <c:pt idx="1">
                  <c:v>Févr.</c:v>
                </c:pt>
                <c:pt idx="2">
                  <c:v>Mars</c:v>
                </c:pt>
                <c:pt idx="3">
                  <c:v>Avr.</c:v>
                </c:pt>
                <c:pt idx="4">
                  <c:v>Mai</c:v>
                </c:pt>
                <c:pt idx="5">
                  <c:v>Juin</c:v>
                </c:pt>
                <c:pt idx="6">
                  <c:v>Juil.</c:v>
                </c:pt>
                <c:pt idx="7">
                  <c:v>Août</c:v>
                </c:pt>
                <c:pt idx="8">
                  <c:v>Sept.</c:v>
                </c:pt>
                <c:pt idx="9">
                  <c:v>Oct.</c:v>
                </c:pt>
                <c:pt idx="10">
                  <c:v>Nov.</c:v>
                </c:pt>
                <c:pt idx="11">
                  <c:v>Déc.</c:v>
                </c:pt>
              </c:strCache>
            </c:strRef>
          </c:cat>
          <c:val>
            <c:numRef>
              <c:f>Données!$Q$4:$Q$15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9CCA-470F-836E-934E95937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5665139"/>
        <c:axId val="6220819"/>
      </c:barChart>
      <c:catAx>
        <c:axId val="756651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220819"/>
        <c:crosses val="autoZero"/>
        <c:auto val="1"/>
        <c:lblAlgn val="ctr"/>
        <c:lblOffset val="100"/>
        <c:noMultiLvlLbl val="0"/>
      </c:catAx>
      <c:valAx>
        <c:axId val="62208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566513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5</xdr:col>
      <xdr:colOff>51480</xdr:colOff>
      <xdr:row>19</xdr:row>
      <xdr:rowOff>136440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10</xdr:col>
      <xdr:colOff>756360</xdr:colOff>
      <xdr:row>19</xdr:row>
      <xdr:rowOff>136440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21</xdr:row>
      <xdr:rowOff>0</xdr:rowOff>
    </xdr:from>
    <xdr:to>
      <xdr:col>5</xdr:col>
      <xdr:colOff>51480</xdr:colOff>
      <xdr:row>32</xdr:row>
      <xdr:rowOff>136080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10</xdr:col>
      <xdr:colOff>756360</xdr:colOff>
      <xdr:row>32</xdr:row>
      <xdr:rowOff>136080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34</xdr:row>
      <xdr:rowOff>0</xdr:rowOff>
    </xdr:from>
    <xdr:to>
      <xdr:col>5</xdr:col>
      <xdr:colOff>51480</xdr:colOff>
      <xdr:row>45</xdr:row>
      <xdr:rowOff>136080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10</xdr:col>
      <xdr:colOff>756360</xdr:colOff>
      <xdr:row>45</xdr:row>
      <xdr:rowOff>136080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6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P12" sqref="P12"/>
    </sheetView>
  </sheetViews>
  <sheetFormatPr baseColWidth="10" defaultColWidth="8.6640625" defaultRowHeight="14.4" x14ac:dyDescent="0.3"/>
  <cols>
    <col min="1" max="1" width="8" customWidth="1"/>
    <col min="2" max="2" width="11" customWidth="1"/>
    <col min="3" max="4" width="8" customWidth="1"/>
    <col min="5" max="5" width="9" customWidth="1"/>
    <col min="6" max="6" width="14" customWidth="1"/>
    <col min="7" max="7" width="11" customWidth="1"/>
    <col min="8" max="8" width="14" customWidth="1"/>
    <col min="9" max="11" width="15" customWidth="1"/>
    <col min="12" max="12" width="14" customWidth="1"/>
    <col min="13" max="13" width="12" customWidth="1"/>
    <col min="14" max="14" width="11" customWidth="1"/>
    <col min="15" max="15" width="15" customWidth="1"/>
    <col min="16" max="16" width="17" customWidth="1"/>
    <col min="17" max="17" width="14" customWidth="1"/>
    <col min="18" max="18" width="11" customWidth="1"/>
    <col min="20" max="20" width="20" customWidth="1"/>
    <col min="21" max="21" width="14" customWidth="1"/>
  </cols>
  <sheetData>
    <row r="1" spans="1:21" ht="21.75" customHeight="1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2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21" ht="42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2" t="s">
        <v>12</v>
      </c>
      <c r="M3" s="2" t="s">
        <v>13</v>
      </c>
      <c r="N3" s="2" t="s">
        <v>14</v>
      </c>
      <c r="O3" s="1" t="s">
        <v>15</v>
      </c>
      <c r="P3" s="1" t="s">
        <v>16</v>
      </c>
      <c r="Q3" s="1" t="s">
        <v>17</v>
      </c>
      <c r="R3" s="2" t="s">
        <v>18</v>
      </c>
      <c r="T3" s="3" t="s">
        <v>19</v>
      </c>
    </row>
    <row r="4" spans="1:21" x14ac:dyDescent="0.3">
      <c r="A4" s="4" t="s">
        <v>20</v>
      </c>
      <c r="B4" s="5"/>
      <c r="C4" s="5"/>
      <c r="D4" s="5"/>
      <c r="E4" s="5"/>
      <c r="F4" s="6"/>
      <c r="G4" s="6"/>
      <c r="H4" s="6"/>
      <c r="I4" s="6"/>
      <c r="J4" s="6"/>
      <c r="K4" s="6"/>
      <c r="L4" s="7">
        <f t="shared" ref="L4:L15" si="0">I4-J4-K4</f>
        <v>0</v>
      </c>
      <c r="M4" s="7">
        <f t="shared" ref="M4:M15" si="1">IF(B4=0,0,H4/B4)</f>
        <v>0</v>
      </c>
      <c r="N4" s="7">
        <f t="shared" ref="N4:N15" si="2">IF(D4=0,0,L4/D4)</f>
        <v>0</v>
      </c>
      <c r="O4" s="6">
        <v>14775000</v>
      </c>
      <c r="P4" s="6"/>
      <c r="Q4" s="6"/>
      <c r="R4" s="8">
        <f t="shared" ref="R4:R15" si="3">IF(O4=0,0,P4/O4)</f>
        <v>0</v>
      </c>
      <c r="T4" s="9" t="s">
        <v>21</v>
      </c>
      <c r="U4" s="10">
        <f>SUM(J4:J15)</f>
        <v>0</v>
      </c>
    </row>
    <row r="5" spans="1:21" x14ac:dyDescent="0.3">
      <c r="A5" s="11" t="s">
        <v>22</v>
      </c>
      <c r="B5" s="12"/>
      <c r="C5" s="12"/>
      <c r="D5" s="12"/>
      <c r="E5" s="12"/>
      <c r="F5" s="13"/>
      <c r="G5" s="13"/>
      <c r="H5" s="13"/>
      <c r="I5" s="13"/>
      <c r="J5" s="13"/>
      <c r="K5" s="13"/>
      <c r="L5" s="14">
        <f t="shared" si="0"/>
        <v>0</v>
      </c>
      <c r="M5" s="14">
        <f t="shared" si="1"/>
        <v>0</v>
      </c>
      <c r="N5" s="14">
        <f t="shared" si="2"/>
        <v>0</v>
      </c>
      <c r="O5" s="13"/>
      <c r="P5" s="13"/>
      <c r="Q5" s="13"/>
      <c r="R5" s="15">
        <f t="shared" si="3"/>
        <v>0</v>
      </c>
      <c r="T5" s="9" t="s">
        <v>23</v>
      </c>
      <c r="U5" s="10">
        <f>SUM(H4:H15)</f>
        <v>0</v>
      </c>
    </row>
    <row r="6" spans="1:21" x14ac:dyDescent="0.3">
      <c r="A6" s="4" t="s">
        <v>24</v>
      </c>
      <c r="B6" s="5"/>
      <c r="C6" s="5"/>
      <c r="D6" s="5"/>
      <c r="E6" s="5"/>
      <c r="F6" s="6"/>
      <c r="G6" s="6"/>
      <c r="H6" s="6"/>
      <c r="I6" s="6"/>
      <c r="J6" s="6"/>
      <c r="K6" s="6"/>
      <c r="L6" s="7">
        <f t="shared" si="0"/>
        <v>0</v>
      </c>
      <c r="M6" s="7">
        <f t="shared" si="1"/>
        <v>0</v>
      </c>
      <c r="N6" s="7">
        <f t="shared" si="2"/>
        <v>0</v>
      </c>
      <c r="O6" s="6"/>
      <c r="P6" s="6"/>
      <c r="Q6" s="6"/>
      <c r="R6" s="8">
        <f t="shared" si="3"/>
        <v>0</v>
      </c>
      <c r="T6" s="9" t="s">
        <v>25</v>
      </c>
      <c r="U6" s="10">
        <f>SUM(K4:K15)</f>
        <v>0</v>
      </c>
    </row>
    <row r="7" spans="1:21" x14ac:dyDescent="0.3">
      <c r="A7" s="11" t="s">
        <v>26</v>
      </c>
      <c r="B7" s="12"/>
      <c r="C7" s="12"/>
      <c r="D7" s="12"/>
      <c r="E7" s="12"/>
      <c r="F7" s="13"/>
      <c r="G7" s="13"/>
      <c r="H7" s="13"/>
      <c r="I7" s="13"/>
      <c r="J7" s="13"/>
      <c r="K7" s="13"/>
      <c r="L7" s="14">
        <f t="shared" si="0"/>
        <v>0</v>
      </c>
      <c r="M7" s="14">
        <f t="shared" si="1"/>
        <v>0</v>
      </c>
      <c r="N7" s="14">
        <f t="shared" si="2"/>
        <v>0</v>
      </c>
      <c r="O7" s="13"/>
      <c r="P7" s="13"/>
      <c r="Q7" s="13"/>
      <c r="R7" s="15">
        <f t="shared" si="3"/>
        <v>0</v>
      </c>
    </row>
    <row r="8" spans="1:21" x14ac:dyDescent="0.3">
      <c r="A8" s="4" t="s">
        <v>27</v>
      </c>
      <c r="B8" s="5"/>
      <c r="C8" s="5"/>
      <c r="D8" s="5"/>
      <c r="E8" s="5"/>
      <c r="F8" s="6"/>
      <c r="G8" s="6"/>
      <c r="H8" s="6"/>
      <c r="I8" s="6"/>
      <c r="J8" s="6"/>
      <c r="K8" s="6"/>
      <c r="L8" s="7">
        <f t="shared" si="0"/>
        <v>0</v>
      </c>
      <c r="M8" s="7">
        <f t="shared" si="1"/>
        <v>0</v>
      </c>
      <c r="N8" s="7">
        <f t="shared" si="2"/>
        <v>0</v>
      </c>
      <c r="O8" s="6"/>
      <c r="P8" s="6"/>
      <c r="Q8" s="6"/>
      <c r="R8" s="8">
        <f t="shared" si="3"/>
        <v>0</v>
      </c>
    </row>
    <row r="9" spans="1:21" x14ac:dyDescent="0.3">
      <c r="A9" s="11" t="s">
        <v>28</v>
      </c>
      <c r="B9" s="12"/>
      <c r="C9" s="12"/>
      <c r="D9" s="12"/>
      <c r="E9" s="12"/>
      <c r="F9" s="13"/>
      <c r="G9" s="13"/>
      <c r="H9" s="13"/>
      <c r="I9" s="13"/>
      <c r="J9" s="13"/>
      <c r="K9" s="13"/>
      <c r="L9" s="14">
        <f t="shared" si="0"/>
        <v>0</v>
      </c>
      <c r="M9" s="14">
        <f t="shared" si="1"/>
        <v>0</v>
      </c>
      <c r="N9" s="14">
        <f t="shared" si="2"/>
        <v>0</v>
      </c>
      <c r="O9" s="13"/>
      <c r="P9" s="13"/>
      <c r="Q9" s="13"/>
      <c r="R9" s="15">
        <f t="shared" si="3"/>
        <v>0</v>
      </c>
    </row>
    <row r="10" spans="1:21" x14ac:dyDescent="0.3">
      <c r="A10" s="4" t="s">
        <v>29</v>
      </c>
      <c r="B10" s="5"/>
      <c r="C10" s="5"/>
      <c r="D10" s="5"/>
      <c r="E10" s="5"/>
      <c r="F10" s="6"/>
      <c r="G10" s="6"/>
      <c r="H10" s="6"/>
      <c r="I10" s="6"/>
      <c r="J10" s="6"/>
      <c r="K10" s="6"/>
      <c r="L10" s="7">
        <f t="shared" si="0"/>
        <v>0</v>
      </c>
      <c r="M10" s="7">
        <f t="shared" si="1"/>
        <v>0</v>
      </c>
      <c r="N10" s="7">
        <f t="shared" si="2"/>
        <v>0</v>
      </c>
      <c r="O10" s="6"/>
      <c r="P10" s="6"/>
      <c r="Q10" s="6"/>
      <c r="R10" s="8">
        <f t="shared" si="3"/>
        <v>0</v>
      </c>
    </row>
    <row r="11" spans="1:21" x14ac:dyDescent="0.3">
      <c r="A11" s="11" t="s">
        <v>30</v>
      </c>
      <c r="B11" s="12"/>
      <c r="C11" s="12"/>
      <c r="D11" s="12"/>
      <c r="E11" s="12"/>
      <c r="F11" s="13"/>
      <c r="G11" s="13"/>
      <c r="H11" s="13"/>
      <c r="I11" s="13"/>
      <c r="J11" s="13"/>
      <c r="K11" s="13"/>
      <c r="L11" s="14">
        <f t="shared" si="0"/>
        <v>0</v>
      </c>
      <c r="M11" s="14">
        <f t="shared" si="1"/>
        <v>0</v>
      </c>
      <c r="N11" s="14">
        <f t="shared" si="2"/>
        <v>0</v>
      </c>
      <c r="O11" s="13"/>
      <c r="P11" s="13"/>
      <c r="Q11" s="13"/>
      <c r="R11" s="15">
        <f t="shared" si="3"/>
        <v>0</v>
      </c>
    </row>
    <row r="12" spans="1:21" x14ac:dyDescent="0.3">
      <c r="A12" s="4" t="s">
        <v>31</v>
      </c>
      <c r="B12" s="5"/>
      <c r="C12" s="5"/>
      <c r="D12" s="5"/>
      <c r="E12" s="5"/>
      <c r="F12" s="6"/>
      <c r="G12" s="6"/>
      <c r="H12" s="6"/>
      <c r="I12" s="6"/>
      <c r="J12" s="6"/>
      <c r="K12" s="6"/>
      <c r="L12" s="7">
        <f t="shared" si="0"/>
        <v>0</v>
      </c>
      <c r="M12" s="7">
        <f t="shared" si="1"/>
        <v>0</v>
      </c>
      <c r="N12" s="7">
        <f t="shared" si="2"/>
        <v>0</v>
      </c>
      <c r="O12" s="6"/>
      <c r="P12" s="6"/>
      <c r="Q12" s="6"/>
      <c r="R12" s="8">
        <f t="shared" si="3"/>
        <v>0</v>
      </c>
    </row>
    <row r="13" spans="1:21" x14ac:dyDescent="0.3">
      <c r="A13" s="11" t="s">
        <v>32</v>
      </c>
      <c r="B13" s="12"/>
      <c r="C13" s="12"/>
      <c r="D13" s="12"/>
      <c r="E13" s="12"/>
      <c r="F13" s="13"/>
      <c r="G13" s="13"/>
      <c r="H13" s="13"/>
      <c r="I13" s="13"/>
      <c r="J13" s="13"/>
      <c r="K13" s="13"/>
      <c r="L13" s="14">
        <f t="shared" si="0"/>
        <v>0</v>
      </c>
      <c r="M13" s="14">
        <f t="shared" si="1"/>
        <v>0</v>
      </c>
      <c r="N13" s="14">
        <f t="shared" si="2"/>
        <v>0</v>
      </c>
      <c r="O13" s="13"/>
      <c r="P13" s="13"/>
      <c r="Q13" s="13"/>
      <c r="R13" s="15">
        <f t="shared" si="3"/>
        <v>0</v>
      </c>
    </row>
    <row r="14" spans="1:21" x14ac:dyDescent="0.3">
      <c r="A14" s="4" t="s">
        <v>33</v>
      </c>
      <c r="B14" s="5"/>
      <c r="C14" s="5"/>
      <c r="D14" s="5"/>
      <c r="E14" s="5"/>
      <c r="F14" s="6"/>
      <c r="G14" s="6"/>
      <c r="H14" s="6"/>
      <c r="I14" s="6"/>
      <c r="J14" s="6"/>
      <c r="K14" s="6"/>
      <c r="L14" s="7">
        <f t="shared" si="0"/>
        <v>0</v>
      </c>
      <c r="M14" s="7">
        <f t="shared" si="1"/>
        <v>0</v>
      </c>
      <c r="N14" s="7">
        <f t="shared" si="2"/>
        <v>0</v>
      </c>
      <c r="O14" s="6"/>
      <c r="P14" s="6"/>
      <c r="Q14" s="6"/>
      <c r="R14" s="8">
        <f t="shared" si="3"/>
        <v>0</v>
      </c>
    </row>
    <row r="15" spans="1:21" x14ac:dyDescent="0.3">
      <c r="A15" s="11" t="s">
        <v>34</v>
      </c>
      <c r="B15" s="12"/>
      <c r="C15" s="12"/>
      <c r="D15" s="12"/>
      <c r="E15" s="12"/>
      <c r="F15" s="13"/>
      <c r="G15" s="13"/>
      <c r="H15" s="13"/>
      <c r="I15" s="13"/>
      <c r="J15" s="13"/>
      <c r="K15" s="13"/>
      <c r="L15" s="14">
        <f t="shared" si="0"/>
        <v>0</v>
      </c>
      <c r="M15" s="14">
        <f t="shared" si="1"/>
        <v>0</v>
      </c>
      <c r="N15" s="14">
        <f t="shared" si="2"/>
        <v>0</v>
      </c>
      <c r="O15" s="13"/>
      <c r="P15" s="13"/>
      <c r="Q15" s="13"/>
      <c r="R15" s="15">
        <f t="shared" si="3"/>
        <v>0</v>
      </c>
    </row>
    <row r="16" spans="1:21" x14ac:dyDescent="0.3">
      <c r="A16" s="16" t="s">
        <v>35</v>
      </c>
      <c r="B16" s="17">
        <f>B15</f>
        <v>0</v>
      </c>
      <c r="C16" s="18">
        <f>SUM(C4:C15)</f>
        <v>0</v>
      </c>
      <c r="D16" s="18">
        <f>SUM(D4:D15)</f>
        <v>0</v>
      </c>
      <c r="E16" s="18">
        <f>SUM(E4:E15)</f>
        <v>0</v>
      </c>
      <c r="F16" s="19"/>
      <c r="G16" s="19"/>
      <c r="H16" s="18">
        <f>SUM(H4:H15)</f>
        <v>0</v>
      </c>
      <c r="I16" s="18">
        <f>SUM(I4:I15)</f>
        <v>0</v>
      </c>
      <c r="J16" s="18">
        <f>SUM(J4:J15)</f>
        <v>0</v>
      </c>
      <c r="K16" s="18">
        <f>SUM(K4:K15)</f>
        <v>0</v>
      </c>
      <c r="L16" s="18">
        <f>SUM(L4:L15)</f>
        <v>0</v>
      </c>
      <c r="M16" s="19"/>
      <c r="N16" s="19"/>
      <c r="O16" s="19"/>
      <c r="P16" s="19"/>
      <c r="Q16" s="18">
        <f>Q15</f>
        <v>0</v>
      </c>
      <c r="R16" s="19"/>
    </row>
  </sheetData>
  <mergeCells count="2">
    <mergeCell ref="A1:R1"/>
    <mergeCell ref="A2:R2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S7"/>
  <sheetViews>
    <sheetView showGridLines="0" zoomScale="90" zoomScaleNormal="90" workbookViewId="0">
      <selection activeCell="N50" sqref="M50:N51"/>
    </sheetView>
  </sheetViews>
  <sheetFormatPr baseColWidth="10" defaultColWidth="8.6640625" defaultRowHeight="14.4" x14ac:dyDescent="0.3"/>
  <cols>
    <col min="1" max="1" width="2" customWidth="1"/>
    <col min="2" max="2" width="20" customWidth="1"/>
    <col min="3" max="3" width="15" customWidth="1"/>
    <col min="4" max="4" width="3" customWidth="1"/>
    <col min="5" max="5" width="20" customWidth="1"/>
    <col min="6" max="6" width="15" customWidth="1"/>
    <col min="7" max="7" width="3" customWidth="1"/>
    <col min="8" max="8" width="20" customWidth="1"/>
    <col min="9" max="9" width="15" customWidth="1"/>
    <col min="10" max="18" width="13" customWidth="1"/>
  </cols>
  <sheetData>
    <row r="1" spans="2:19" ht="19.5" customHeight="1" x14ac:dyDescent="0.3">
      <c r="B1" s="28" t="s">
        <v>43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2:19" ht="15.75" customHeight="1" x14ac:dyDescent="0.3"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2:19" x14ac:dyDescent="0.3">
      <c r="B3" s="29" t="s">
        <v>36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5" spans="2:19" ht="18" customHeight="1" x14ac:dyDescent="0.3">
      <c r="B5" s="30" t="s">
        <v>37</v>
      </c>
      <c r="C5" s="30"/>
      <c r="D5" s="30"/>
      <c r="E5" s="31" t="s">
        <v>38</v>
      </c>
      <c r="F5" s="31"/>
      <c r="G5" s="31"/>
      <c r="H5" s="32" t="s">
        <v>39</v>
      </c>
      <c r="I5" s="32"/>
      <c r="J5" s="32"/>
      <c r="K5" s="33" t="s">
        <v>40</v>
      </c>
      <c r="L5" s="33"/>
      <c r="M5" s="33"/>
      <c r="N5" s="34" t="s">
        <v>41</v>
      </c>
      <c r="O5" s="34"/>
      <c r="P5" s="34"/>
      <c r="Q5" s="35" t="s">
        <v>42</v>
      </c>
      <c r="R5" s="35"/>
      <c r="S5" s="35"/>
    </row>
    <row r="6" spans="2:19" ht="19.5" customHeight="1" x14ac:dyDescent="0.3">
      <c r="B6" s="23">
        <f>Données!B15</f>
        <v>0</v>
      </c>
      <c r="C6" s="23"/>
      <c r="D6" s="23"/>
      <c r="E6" s="24">
        <f>Données!I16</f>
        <v>0</v>
      </c>
      <c r="F6" s="24"/>
      <c r="G6" s="24"/>
      <c r="H6" s="25">
        <f>Données!L16</f>
        <v>0</v>
      </c>
      <c r="I6" s="25"/>
      <c r="J6" s="25"/>
      <c r="K6" s="26">
        <f>IF(Données!D16=0,0,Données!L16/Données!D16)</f>
        <v>0</v>
      </c>
      <c r="L6" s="26"/>
      <c r="M6" s="26"/>
      <c r="N6" s="27">
        <f>Données!R15</f>
        <v>0</v>
      </c>
      <c r="O6" s="27"/>
      <c r="P6" s="27"/>
      <c r="Q6" s="22">
        <f>Données!Q15</f>
        <v>0</v>
      </c>
      <c r="R6" s="22"/>
      <c r="S6" s="22"/>
    </row>
    <row r="7" spans="2:19" ht="15.75" customHeight="1" x14ac:dyDescent="0.3">
      <c r="B7" s="23"/>
      <c r="C7" s="23"/>
      <c r="D7" s="23"/>
      <c r="E7" s="24"/>
      <c r="F7" s="24"/>
      <c r="G7" s="24"/>
      <c r="H7" s="25"/>
      <c r="I7" s="25"/>
      <c r="J7" s="25"/>
      <c r="K7" s="26"/>
      <c r="L7" s="26"/>
      <c r="M7" s="26"/>
      <c r="N7" s="27"/>
      <c r="O7" s="27"/>
      <c r="P7" s="27"/>
      <c r="Q7" s="22"/>
      <c r="R7" s="22"/>
      <c r="S7" s="22"/>
    </row>
  </sheetData>
  <mergeCells count="14">
    <mergeCell ref="B1:R2"/>
    <mergeCell ref="B3:R3"/>
    <mergeCell ref="B5:D5"/>
    <mergeCell ref="E5:G5"/>
    <mergeCell ref="H5:J5"/>
    <mergeCell ref="K5:M5"/>
    <mergeCell ref="N5:P5"/>
    <mergeCell ref="Q5:S5"/>
    <mergeCell ref="Q6:S7"/>
    <mergeCell ref="B6:D7"/>
    <mergeCell ref="E6:G7"/>
    <mergeCell ref="H6:J7"/>
    <mergeCell ref="K6:M7"/>
    <mergeCell ref="N6:P7"/>
  </mergeCells>
  <pageMargins left="0.3" right="0.3" top="0.4" bottom="0.4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</vt:lpstr>
      <vt:lpstr>Tableau de 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SOUMANA AMADOU Abdoul Madjid</cp:lastModifiedBy>
  <cp:revision>1</cp:revision>
  <dcterms:created xsi:type="dcterms:W3CDTF">2026-09-29T16:23:42Z</dcterms:created>
  <dcterms:modified xsi:type="dcterms:W3CDTF">2026-09-29T23:28:04Z</dcterms:modified>
  <dc:language>en-US</dc:language>
</cp:coreProperties>
</file>